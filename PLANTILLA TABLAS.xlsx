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0634329f0acaa1/IA-MEMORIAS/PLIEGOS/Asistente_EBSS/"/>
    </mc:Choice>
  </mc:AlternateContent>
  <xr:revisionPtr revIDLastSave="2" documentId="13_ncr:1_{95FEB5AE-3692-4D57-BFF6-559F76531555}" xr6:coauthVersionLast="47" xr6:coauthVersionMax="47" xr10:uidLastSave="{07A79D9D-E8ED-46F1-9D8D-121EC1406AAA}"/>
  <bookViews>
    <workbookView xWindow="-120" yWindow="-120" windowWidth="29040" windowHeight="15720" xr2:uid="{9B9098F3-F935-4EC6-B528-2A0236817C9D}"/>
  </bookViews>
  <sheets>
    <sheet name="G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6" i="2" l="1"/>
  <c r="Z15" i="2"/>
  <c r="Z14" i="2"/>
  <c r="Z13" i="2"/>
  <c r="Z12" i="2"/>
  <c r="Z11" i="2"/>
  <c r="Z10" i="2"/>
  <c r="Z9" i="2"/>
  <c r="Z8" i="2"/>
  <c r="H46" i="2"/>
  <c r="H42" i="2"/>
  <c r="E4" i="2"/>
  <c r="G4" i="2" s="1"/>
  <c r="H47" i="2" s="1"/>
  <c r="H20" i="2" l="1"/>
  <c r="H16" i="2"/>
  <c r="H18" i="2"/>
  <c r="S13" i="2" s="1"/>
  <c r="H22" i="2"/>
  <c r="I22" i="2" s="1"/>
  <c r="T17" i="2" s="1"/>
  <c r="H30" i="2"/>
  <c r="H37" i="2"/>
  <c r="I37" i="2" s="1"/>
  <c r="H45" i="2"/>
  <c r="I45" i="2" s="1"/>
  <c r="H21" i="2"/>
  <c r="H28" i="2"/>
  <c r="H36" i="2"/>
  <c r="H19" i="2"/>
  <c r="I19" i="2" s="1"/>
  <c r="T14" i="2" s="1"/>
  <c r="H24" i="2"/>
  <c r="S19" i="2" s="1"/>
  <c r="H32" i="2"/>
  <c r="H39" i="2"/>
  <c r="H14" i="2"/>
  <c r="H26" i="2"/>
  <c r="H33" i="2"/>
  <c r="I33" i="2" s="1"/>
  <c r="T28" i="2" s="1"/>
  <c r="H41" i="2"/>
  <c r="S33" i="2" s="1"/>
  <c r="H10" i="2"/>
  <c r="X10" i="2" s="1"/>
  <c r="I47" i="2"/>
  <c r="T38" i="2" s="1"/>
  <c r="I46" i="2"/>
  <c r="L15" i="2" l="1"/>
  <c r="X16" i="2" s="1"/>
  <c r="I18" i="2"/>
  <c r="T13" i="2" s="1"/>
  <c r="I41" i="2"/>
  <c r="L9" i="2"/>
  <c r="I10" i="2"/>
  <c r="M9" i="2" s="1"/>
  <c r="S37" i="2"/>
  <c r="S17" i="2"/>
  <c r="I24" i="2"/>
  <c r="T19" i="2" s="1"/>
  <c r="I20" i="2"/>
  <c r="T15" i="2" s="1"/>
  <c r="S15" i="2"/>
  <c r="S38" i="2"/>
  <c r="L25" i="2"/>
  <c r="S14" i="2"/>
  <c r="S28" i="2"/>
  <c r="I36" i="2"/>
  <c r="M21" i="2" s="1"/>
  <c r="L21" i="2"/>
  <c r="S23" i="2"/>
  <c r="I28" i="2"/>
  <c r="L17" i="2"/>
  <c r="X14" i="2" s="1"/>
  <c r="I16" i="2"/>
  <c r="S11" i="2"/>
  <c r="L13" i="2"/>
  <c r="X12" i="2" s="1"/>
  <c r="S21" i="2"/>
  <c r="I26" i="2"/>
  <c r="L16" i="2"/>
  <c r="X13" i="2" s="1"/>
  <c r="I14" i="2"/>
  <c r="M12" i="2" s="1"/>
  <c r="L12" i="2"/>
  <c r="L22" i="2"/>
  <c r="X8" i="2" s="1"/>
  <c r="I39" i="2"/>
  <c r="S31" i="2"/>
  <c r="T33" i="2"/>
  <c r="L18" i="2"/>
  <c r="X15" i="2" s="1"/>
  <c r="I30" i="2"/>
  <c r="S25" i="2"/>
  <c r="I42" i="2"/>
  <c r="T34" i="2" s="1"/>
  <c r="S34" i="2"/>
  <c r="L23" i="2"/>
  <c r="X9" i="2" s="1"/>
  <c r="M25" i="2"/>
  <c r="T37" i="2"/>
  <c r="S16" i="2"/>
  <c r="I21" i="2"/>
  <c r="T16" i="2" s="1"/>
  <c r="I32" i="2"/>
  <c r="T27" i="2" s="1"/>
  <c r="S27" i="2"/>
  <c r="L14" i="2"/>
  <c r="X11" i="2" s="1"/>
  <c r="M15" i="2" l="1"/>
  <c r="M14" i="2"/>
  <c r="M17" i="2"/>
  <c r="T23" i="2"/>
  <c r="T31" i="2"/>
  <c r="M22" i="2"/>
  <c r="T25" i="2"/>
  <c r="M18" i="2"/>
  <c r="M16" i="2"/>
  <c r="T21" i="2"/>
  <c r="T11" i="2"/>
  <c r="M13" i="2"/>
  <c r="M23" i="2"/>
</calcChain>
</file>

<file path=xl/sharedStrings.xml><?xml version="1.0" encoding="utf-8"?>
<sst xmlns="http://schemas.openxmlformats.org/spreadsheetml/2006/main" count="233" uniqueCount="119">
  <si>
    <t>Papel y cartón LER 15 01 01</t>
  </si>
  <si>
    <t>---</t>
  </si>
  <si>
    <t>Yeso LER 17 08 02</t>
  </si>
  <si>
    <t>Vidrio LER 17 02 02</t>
  </si>
  <si>
    <t>Plástico LER 17 02 03</t>
  </si>
  <si>
    <t>Madera LER 17 02 01</t>
  </si>
  <si>
    <t>Metales (incluidas sus aleaciones) LER 17 04</t>
  </si>
  <si>
    <t>Piedra LER 17 05 04</t>
  </si>
  <si>
    <t>Ladrillos, tejas y materiales cerámicos LER 17 01 02, LER 17 01 03</t>
  </si>
  <si>
    <t>Hormigón LER 17 01 01</t>
  </si>
  <si>
    <t>Fracciones minerales</t>
  </si>
  <si>
    <t>Separación obligatoria en obra y entrega a Gestor Autorizado</t>
  </si>
  <si>
    <t>UMBRAL SEGÚN NORMA (t)</t>
  </si>
  <si>
    <t>TOTAL RESIDUO OBRA (t)</t>
  </si>
  <si>
    <t>TIPO DE RESIDUO</t>
  </si>
  <si>
    <t>20 01 30</t>
  </si>
  <si>
    <t>Detergentes distintos de los especificados en el código 20 01 29.</t>
  </si>
  <si>
    <t>SI</t>
  </si>
  <si>
    <t>17 06 05</t>
  </si>
  <si>
    <t>Materiales de construcción que contienen amianto.</t>
  </si>
  <si>
    <t>08 01 11</t>
  </si>
  <si>
    <t>Residuos de pintura y barniz que contienen disolventes orgánicos u otras sustancias peligrosas.</t>
  </si>
  <si>
    <t>1 Otros</t>
  </si>
  <si>
    <t>RPs: Residuos peligrosos</t>
  </si>
  <si>
    <t>RCD potencialmente peligrosos</t>
  </si>
  <si>
    <t>RNPs: Residuos no peligrosos</t>
  </si>
  <si>
    <t>17 01 03</t>
  </si>
  <si>
    <t>Tejas y materiales cerámicos.</t>
  </si>
  <si>
    <t>RSU: Residuos sólidos urbanos</t>
  </si>
  <si>
    <t>17 01 02</t>
  </si>
  <si>
    <t>Ladrillos.</t>
  </si>
  <si>
    <t>RCD: Residuos de construcción y demolición</t>
  </si>
  <si>
    <t>3 Ladrillos, tejas y materiales cerámicos</t>
  </si>
  <si>
    <t>Notas:</t>
  </si>
  <si>
    <t>17 01 01</t>
  </si>
  <si>
    <t>Hormigón (hormigones, morteros y prefabricados).</t>
  </si>
  <si>
    <t>Gestor autorizado RNPs</t>
  </si>
  <si>
    <t>Tratamiento Fco/Qco</t>
  </si>
  <si>
    <t>2 Hormigón</t>
  </si>
  <si>
    <t>Gestor autorizado RPs</t>
  </si>
  <si>
    <t>Depósito / Tratamiento</t>
  </si>
  <si>
    <t>01 04 09</t>
  </si>
  <si>
    <t>Residuos de arena y arcillas.</t>
  </si>
  <si>
    <t>01 04 08</t>
  </si>
  <si>
    <t>Residuos de grava y rocas trituradas distintos de los mencionados en el código 01 04 07.</t>
  </si>
  <si>
    <t>1 Arena, grava y otros áridos</t>
  </si>
  <si>
    <t>Planta reciclaje RCD</t>
  </si>
  <si>
    <t>Reciclado</t>
  </si>
  <si>
    <t>RCD de naturaleza pétrea</t>
  </si>
  <si>
    <t>17 09 04</t>
  </si>
  <si>
    <t>Residuos mezclados de construcción y demolición distintos de los especificados en los códigos 17 09 01, 17 09 02 y 17 09 03.</t>
  </si>
  <si>
    <t>2 Ladrillos, tejas y materiales cerámicos</t>
  </si>
  <si>
    <t>17 06 04</t>
  </si>
  <si>
    <t>Materiales de aislamiento distintos de los especificados en los códigos 17 06 01 y 17 06 03.</t>
  </si>
  <si>
    <t>Reciclado / Vertedero</t>
  </si>
  <si>
    <t>8 Basuras</t>
  </si>
  <si>
    <t>1 Hormigón</t>
  </si>
  <si>
    <t>17 08 02</t>
  </si>
  <si>
    <t>Materiales de construcción a partir de yeso distintos de los especificados en el código 17 08 01.</t>
  </si>
  <si>
    <t>7 Yeso</t>
  </si>
  <si>
    <t>17 02 02</t>
  </si>
  <si>
    <t>Vidrio.</t>
  </si>
  <si>
    <t>6 Vidrio</t>
  </si>
  <si>
    <t>7 Basuras</t>
  </si>
  <si>
    <t>17 02 03</t>
  </si>
  <si>
    <t>Plástico.</t>
  </si>
  <si>
    <t>5 Plástico</t>
  </si>
  <si>
    <t>6 Yeso</t>
  </si>
  <si>
    <t>15 01 01</t>
  </si>
  <si>
    <t>Envases de papel y cartón.</t>
  </si>
  <si>
    <t>4 Papel y cartón</t>
  </si>
  <si>
    <t>5 Vidrio</t>
  </si>
  <si>
    <t>17 04 11</t>
  </si>
  <si>
    <t>Cables distintos de los especificados en el código 17 04 10.</t>
  </si>
  <si>
    <t>17 04 07</t>
  </si>
  <si>
    <t>Metales mezclados.</t>
  </si>
  <si>
    <t>4 Plástico</t>
  </si>
  <si>
    <t>17 04 05</t>
  </si>
  <si>
    <t>Hierro y acero.</t>
  </si>
  <si>
    <t>17 04 01</t>
  </si>
  <si>
    <t>Cobre, bronce, latón.</t>
  </si>
  <si>
    <t>3 Papel y cartón</t>
  </si>
  <si>
    <t>15 01 04</t>
  </si>
  <si>
    <t>Envases metálicos.</t>
  </si>
  <si>
    <t>3 Metales (incluidas sus aleaciones)</t>
  </si>
  <si>
    <t>17 02 01</t>
  </si>
  <si>
    <t>Madera.</t>
  </si>
  <si>
    <t>2 Madera</t>
  </si>
  <si>
    <t>17 04 02</t>
  </si>
  <si>
    <t>Aluminio.</t>
  </si>
  <si>
    <t>17 03 02</t>
  </si>
  <si>
    <t>Mezclas bituminosas distintas de las especificadas en el código 17 03 01.</t>
  </si>
  <si>
    <t>1 Asfalto</t>
  </si>
  <si>
    <t>2 Metales (incluidas sus aleaciones)</t>
  </si>
  <si>
    <t>RCD de naturaleza no pétrea</t>
  </si>
  <si>
    <t>RCD de Nivel II</t>
  </si>
  <si>
    <t>1 Madera</t>
  </si>
  <si>
    <t>17 05 04</t>
  </si>
  <si>
    <t>Tierra y piedras distintas de las especificadas en el código 17 05 03.</t>
  </si>
  <si>
    <t>1 Tierras y pétreos de la excavación</t>
  </si>
  <si>
    <t>RCD de Nivel I</t>
  </si>
  <si>
    <t>(m³)</t>
  </si>
  <si>
    <t>(t)</t>
  </si>
  <si>
    <t>(t/m³)</t>
  </si>
  <si>
    <t>Volumen</t>
  </si>
  <si>
    <t>Peso</t>
  </si>
  <si>
    <t>Destino</t>
  </si>
  <si>
    <t>Tratamiento</t>
  </si>
  <si>
    <t>Código LER</t>
  </si>
  <si>
    <t>Material según "Decisión 2014/955/UE. Lista europea de residuos"</t>
  </si>
  <si>
    <t>Densidad aparente</t>
  </si>
  <si>
    <t>% en peso, (Plan Nacional de RCDs)</t>
  </si>
  <si>
    <t>toneladas de residuo (v x d)</t>
  </si>
  <si>
    <t>Tn tot</t>
  </si>
  <si>
    <t xml:space="preserve">V </t>
  </si>
  <si>
    <t>S</t>
  </si>
  <si>
    <t>NO</t>
  </si>
  <si>
    <r>
      <t>m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superficie construida</t>
    </r>
  </si>
  <si>
    <r>
      <t>m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volumen residuos (S x 0,2)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</si>
</sst>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gt;&quot;0"/>
    <numFmt numFmtId="165" formatCode="&quot;&gt;&quot;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9"/>
      <color indexed="64"/>
      <name val="Arial"/>
      <family val="2"/>
    </font>
    <font>
      <b/>
      <sz val="9"/>
      <color indexed="64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9CF5C7"/>
      </patternFill>
    </fill>
    <fill>
      <patternFill patternType="solid">
        <fgColor rgb="FF60F0A5"/>
      </patternFill>
    </fill>
    <fill>
      <patternFill patternType="solid">
        <fgColor rgb="FF25EB83"/>
      </patternFill>
    </fill>
    <fill>
      <patternFill patternType="solid">
        <fgColor rgb="FFF2F1F0"/>
      </patternFill>
    </fill>
    <fill>
      <patternFill patternType="solid">
        <fgColor rgb="FF9CF5C7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6" borderId="12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vertical="center" wrapText="1"/>
    </xf>
    <xf numFmtId="0" fontId="3" fillId="5" borderId="13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2" fontId="2" fillId="0" borderId="15" xfId="1" applyNumberFormat="1" applyFont="1" applyBorder="1" applyAlignment="1">
      <alignment horizontal="center" vertical="center" wrapText="1"/>
    </xf>
    <xf numFmtId="2" fontId="2" fillId="0" borderId="2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vertical="center" wrapText="1"/>
    </xf>
    <xf numFmtId="0" fontId="2" fillId="4" borderId="13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justify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4" borderId="0" xfId="1" applyFont="1" applyFill="1" applyAlignment="1">
      <alignment horizontal="center" vertical="center" wrapText="1"/>
    </xf>
    <xf numFmtId="0" fontId="4" fillId="0" borderId="0" xfId="1" applyFont="1" applyAlignment="1">
      <alignment wrapText="1"/>
    </xf>
    <xf numFmtId="0" fontId="4" fillId="0" borderId="0" xfId="1" applyFont="1" applyAlignment="1">
      <alignment horizontal="center" wrapText="1"/>
    </xf>
    <xf numFmtId="0" fontId="5" fillId="0" borderId="24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2" fontId="4" fillId="0" borderId="18" xfId="1" applyNumberFormat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2" fontId="4" fillId="7" borderId="1" xfId="1" applyNumberFormat="1" applyFont="1" applyFill="1" applyBorder="1" applyAlignment="1">
      <alignment horizontal="center" vertical="center" wrapText="1"/>
    </xf>
    <xf numFmtId="164" fontId="4" fillId="7" borderId="1" xfId="1" applyNumberFormat="1" applyFont="1" applyFill="1" applyBorder="1" applyAlignment="1">
      <alignment horizontal="center" vertical="center" wrapText="1"/>
    </xf>
    <xf numFmtId="165" fontId="4" fillId="7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vertical="center" wrapText="1"/>
    </xf>
    <xf numFmtId="0" fontId="3" fillId="5" borderId="7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3" xfId="1" applyFont="1" applyFill="1" applyBorder="1" applyAlignment="1">
      <alignment horizontal="justify" vertical="center" wrapText="1"/>
    </xf>
    <xf numFmtId="0" fontId="3" fillId="5" borderId="7" xfId="1" applyFont="1" applyFill="1" applyBorder="1" applyAlignment="1">
      <alignment horizontal="justify" vertical="center" wrapText="1"/>
    </xf>
    <xf numFmtId="0" fontId="3" fillId="5" borderId="2" xfId="1" applyFont="1" applyFill="1" applyBorder="1" applyAlignment="1">
      <alignment horizontal="justify" vertical="center" wrapText="1"/>
    </xf>
    <xf numFmtId="0" fontId="2" fillId="3" borderId="3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 wrapText="1"/>
    </xf>
    <xf numFmtId="0" fontId="2" fillId="4" borderId="3" xfId="1" applyFont="1" applyFill="1" applyBorder="1" applyAlignment="1">
      <alignment horizontal="justify" vertical="center" wrapText="1"/>
    </xf>
    <xf numFmtId="0" fontId="2" fillId="4" borderId="7" xfId="1" applyFont="1" applyFill="1" applyBorder="1" applyAlignment="1">
      <alignment horizontal="justify" vertical="center" wrapText="1"/>
    </xf>
    <xf numFmtId="0" fontId="2" fillId="4" borderId="2" xfId="1" applyFont="1" applyFill="1" applyBorder="1" applyAlignment="1">
      <alignment horizontal="justify" vertical="center" wrapText="1"/>
    </xf>
    <xf numFmtId="0" fontId="2" fillId="4" borderId="3" xfId="1" applyFont="1" applyFill="1" applyBorder="1" applyAlignment="1">
      <alignment vertical="center" wrapText="1"/>
    </xf>
    <xf numFmtId="0" fontId="2" fillId="4" borderId="7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7" fillId="0" borderId="14" xfId="1" applyFont="1" applyBorder="1" applyAlignment="1">
      <alignment horizontal="justify" vertical="center" wrapText="1"/>
    </xf>
    <xf numFmtId="0" fontId="7" fillId="0" borderId="13" xfId="1" applyFont="1" applyBorder="1" applyAlignment="1">
      <alignment horizontal="justify" vertical="center" wrapText="1"/>
    </xf>
    <xf numFmtId="0" fontId="7" fillId="0" borderId="12" xfId="1" applyFont="1" applyBorder="1" applyAlignment="1">
      <alignment horizontal="justify" vertical="center" wrapText="1"/>
    </xf>
    <xf numFmtId="0" fontId="7" fillId="0" borderId="11" xfId="1" applyFont="1" applyBorder="1" applyAlignment="1">
      <alignment horizontal="justify" vertical="center" wrapText="1"/>
    </xf>
    <xf numFmtId="0" fontId="7" fillId="0" borderId="0" xfId="1" applyFont="1" applyAlignment="1">
      <alignment horizontal="justify" vertical="center" wrapText="1"/>
    </xf>
    <xf numFmtId="0" fontId="7" fillId="0" borderId="10" xfId="1" applyFont="1" applyBorder="1" applyAlignment="1">
      <alignment horizontal="justify" vertical="center" wrapText="1"/>
    </xf>
    <xf numFmtId="0" fontId="4" fillId="7" borderId="3" xfId="1" applyFont="1" applyFill="1" applyBorder="1" applyAlignment="1">
      <alignment horizontal="justify" vertical="center" wrapText="1"/>
    </xf>
    <xf numFmtId="0" fontId="4" fillId="7" borderId="2" xfId="1" applyFont="1" applyFill="1" applyBorder="1" applyAlignment="1">
      <alignment horizontal="justify" vertical="center" wrapText="1"/>
    </xf>
    <xf numFmtId="0" fontId="4" fillId="7" borderId="6" xfId="1" applyFont="1" applyFill="1" applyBorder="1" applyAlignment="1">
      <alignment horizontal="center" vertical="center" wrapText="1"/>
    </xf>
    <xf numFmtId="0" fontId="4" fillId="7" borderId="5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7" fillId="0" borderId="9" xfId="1" applyFont="1" applyBorder="1" applyAlignment="1">
      <alignment horizontal="justify" vertical="center" wrapText="1"/>
    </xf>
    <xf numFmtId="0" fontId="7" fillId="0" borderId="8" xfId="1" applyFont="1" applyBorder="1" applyAlignment="1">
      <alignment horizontal="justify" vertical="center" wrapText="1"/>
    </xf>
    <xf numFmtId="0" fontId="7" fillId="0" borderId="1" xfId="1" applyFont="1" applyBorder="1" applyAlignment="1">
      <alignment horizontal="justify" vertical="center" wrapText="1"/>
    </xf>
  </cellXfs>
  <cellStyles count="2">
    <cellStyle name="Normal" xfId="0" builtinId="0"/>
    <cellStyle name="Normal 2" xfId="1" xr:uid="{FEB066CC-DD6A-4B71-B8E8-19ABEA785B1A}"/>
  </cellStyles>
  <dxfs count="0"/>
  <tableStyles count="0" defaultTableStyle="TableStyleMedium2" defaultPivotStyle="PivotStyleLight16"/>
  <colors>
    <mruColors>
      <color rgb="FF9CF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0BAF-BA20-409A-8770-E8AA79CBFA24}">
  <dimension ref="B1:Z47"/>
  <sheetViews>
    <sheetView tabSelected="1" workbookViewId="0">
      <selection activeCell="V5" sqref="V5"/>
    </sheetView>
  </sheetViews>
  <sheetFormatPr baseColWidth="10" defaultColWidth="10.7109375" defaultRowHeight="27.75" customHeight="1" x14ac:dyDescent="0.2"/>
  <cols>
    <col min="1" max="1" width="10.7109375" style="21"/>
    <col min="2" max="2" width="5" style="21" customWidth="1"/>
    <col min="3" max="3" width="6.85546875" style="21" customWidth="1"/>
    <col min="4" max="4" width="43.42578125" style="21" customWidth="1"/>
    <col min="5" max="5" width="14.5703125" style="22" customWidth="1"/>
    <col min="6" max="6" width="19.5703125" style="22" customWidth="1"/>
    <col min="7" max="7" width="16.7109375" style="22" customWidth="1"/>
    <col min="8" max="9" width="10.7109375" style="22"/>
    <col min="10" max="10" width="10.7109375" style="21"/>
    <col min="11" max="11" width="44.5703125" style="21" customWidth="1"/>
    <col min="12" max="13" width="10.7109375" style="22"/>
    <col min="14" max="14" width="10.7109375" style="21"/>
    <col min="15" max="15" width="32.42578125" style="21" customWidth="1"/>
    <col min="16" max="16" width="10.7109375" style="22"/>
    <col min="17" max="17" width="13.42578125" style="22" customWidth="1"/>
    <col min="18" max="18" width="20.28515625" style="22" customWidth="1"/>
    <col min="19" max="20" width="8.5703125" style="22" customWidth="1"/>
    <col min="21" max="21" width="10.7109375" style="21"/>
    <col min="22" max="22" width="19.28515625" style="21" customWidth="1"/>
    <col min="23" max="23" width="26.28515625" style="21" customWidth="1"/>
    <col min="24" max="25" width="14.85546875" style="21" customWidth="1"/>
    <col min="26" max="26" width="17.5703125" style="21" customWidth="1"/>
    <col min="27" max="16384" width="10.7109375" style="21"/>
  </cols>
  <sheetData>
    <row r="1" spans="2:26" ht="27.75" customHeight="1" thickBot="1" x14ac:dyDescent="0.25"/>
    <row r="2" spans="2:26" ht="27.75" customHeight="1" x14ac:dyDescent="0.2">
      <c r="D2" s="23" t="s">
        <v>115</v>
      </c>
      <c r="E2" s="33" t="s">
        <v>114</v>
      </c>
      <c r="F2" s="34"/>
      <c r="G2" s="33" t="s">
        <v>113</v>
      </c>
      <c r="H2" s="35"/>
      <c r="I2" s="34"/>
    </row>
    <row r="3" spans="2:26" ht="27.75" customHeight="1" x14ac:dyDescent="0.2">
      <c r="D3" s="24" t="s">
        <v>117</v>
      </c>
      <c r="E3" s="36" t="s">
        <v>118</v>
      </c>
      <c r="F3" s="37"/>
      <c r="G3" s="36" t="s">
        <v>112</v>
      </c>
      <c r="H3" s="38"/>
      <c r="I3" s="37"/>
    </row>
    <row r="4" spans="2:26" ht="27.75" customHeight="1" thickBot="1" x14ac:dyDescent="0.25">
      <c r="D4" s="25">
        <v>9.84</v>
      </c>
      <c r="E4" s="39">
        <f>D4*0.2</f>
        <v>1.968</v>
      </c>
      <c r="F4" s="40"/>
      <c r="G4" s="39">
        <f>E4</f>
        <v>1.968</v>
      </c>
      <c r="H4" s="41"/>
      <c r="I4" s="40"/>
    </row>
    <row r="5" spans="2:26" ht="27.75" customHeight="1" thickBot="1" x14ac:dyDescent="0.25"/>
    <row r="6" spans="2:26" ht="27.75" customHeight="1" thickBot="1" x14ac:dyDescent="0.25">
      <c r="D6" s="42" t="s">
        <v>109</v>
      </c>
      <c r="E6" s="42" t="s">
        <v>108</v>
      </c>
      <c r="F6" s="42" t="s">
        <v>111</v>
      </c>
      <c r="G6" s="1" t="s">
        <v>110</v>
      </c>
      <c r="H6" s="1" t="s">
        <v>105</v>
      </c>
      <c r="I6" s="1" t="s">
        <v>104</v>
      </c>
      <c r="K6" s="42" t="s">
        <v>109</v>
      </c>
      <c r="L6" s="1" t="s">
        <v>105</v>
      </c>
      <c r="M6" s="1" t="s">
        <v>104</v>
      </c>
      <c r="O6" s="42" t="s">
        <v>109</v>
      </c>
      <c r="P6" s="42" t="s">
        <v>108</v>
      </c>
      <c r="Q6" s="42" t="s">
        <v>107</v>
      </c>
      <c r="R6" s="42" t="s">
        <v>106</v>
      </c>
      <c r="S6" s="1" t="s">
        <v>105</v>
      </c>
      <c r="T6" s="1" t="s">
        <v>104</v>
      </c>
    </row>
    <row r="7" spans="2:26" ht="27.75" customHeight="1" thickBot="1" x14ac:dyDescent="0.25">
      <c r="D7" s="43"/>
      <c r="E7" s="43"/>
      <c r="F7" s="43"/>
      <c r="G7" s="2" t="s">
        <v>103</v>
      </c>
      <c r="H7" s="2" t="s">
        <v>102</v>
      </c>
      <c r="I7" s="2" t="s">
        <v>101</v>
      </c>
      <c r="K7" s="43"/>
      <c r="L7" s="2" t="s">
        <v>102</v>
      </c>
      <c r="M7" s="2" t="s">
        <v>101</v>
      </c>
      <c r="O7" s="43"/>
      <c r="P7" s="43"/>
      <c r="Q7" s="43"/>
      <c r="R7" s="43"/>
      <c r="S7" s="2" t="s">
        <v>102</v>
      </c>
      <c r="T7" s="2" t="s">
        <v>101</v>
      </c>
      <c r="V7" s="59" t="s">
        <v>14</v>
      </c>
      <c r="W7" s="60"/>
      <c r="X7" s="3" t="s">
        <v>13</v>
      </c>
      <c r="Y7" s="3" t="s">
        <v>12</v>
      </c>
      <c r="Z7" s="3" t="s">
        <v>11</v>
      </c>
    </row>
    <row r="8" spans="2:26" ht="27.75" customHeight="1" thickBot="1" x14ac:dyDescent="0.25">
      <c r="D8" s="44" t="s">
        <v>100</v>
      </c>
      <c r="E8" s="45"/>
      <c r="F8" s="45"/>
      <c r="G8" s="45"/>
      <c r="H8" s="45"/>
      <c r="I8" s="46"/>
      <c r="K8" s="4" t="s">
        <v>100</v>
      </c>
      <c r="L8" s="5"/>
      <c r="M8" s="6"/>
      <c r="O8" s="47" t="s">
        <v>95</v>
      </c>
      <c r="P8" s="48"/>
      <c r="Q8" s="48"/>
      <c r="R8" s="48"/>
      <c r="S8" s="48"/>
      <c r="T8" s="49"/>
      <c r="V8" s="69" t="s">
        <v>10</v>
      </c>
      <c r="W8" s="26" t="s">
        <v>9</v>
      </c>
      <c r="X8" s="27">
        <f>L22</f>
        <v>0.23615999999999998</v>
      </c>
      <c r="Y8" s="28">
        <v>80</v>
      </c>
      <c r="Z8" s="26" t="str">
        <f>IF(X8&gt;Y8,"OBLIGATORIA","NO OBLIGATORIA")</f>
        <v>NO OBLIGATORIA</v>
      </c>
    </row>
    <row r="9" spans="2:26" ht="27.75" customHeight="1" thickBot="1" x14ac:dyDescent="0.25">
      <c r="D9" s="50" t="s">
        <v>99</v>
      </c>
      <c r="E9" s="51"/>
      <c r="F9" s="51"/>
      <c r="G9" s="51"/>
      <c r="H9" s="51"/>
      <c r="I9" s="52"/>
      <c r="K9" s="8" t="s">
        <v>99</v>
      </c>
      <c r="L9" s="9">
        <f>H10</f>
        <v>9.8400000000000001E-2</v>
      </c>
      <c r="M9" s="10">
        <f>I10</f>
        <v>0.16334399999999999</v>
      </c>
      <c r="O9" s="53" t="s">
        <v>94</v>
      </c>
      <c r="P9" s="54"/>
      <c r="Q9" s="54"/>
      <c r="R9" s="54"/>
      <c r="S9" s="54"/>
      <c r="T9" s="55"/>
      <c r="V9" s="70"/>
      <c r="W9" s="26" t="s">
        <v>8</v>
      </c>
      <c r="X9" s="27">
        <f>L23</f>
        <v>0.39360000000000001</v>
      </c>
      <c r="Y9" s="28">
        <v>40</v>
      </c>
      <c r="Z9" s="26" t="str">
        <f t="shared" ref="Z9:Z16" si="0">IF(X9&gt;Y9,"OBLIGATORIA","NO OBLIGATORIA")</f>
        <v>NO OBLIGATORIA</v>
      </c>
    </row>
    <row r="10" spans="2:26" ht="27.75" customHeight="1" thickBot="1" x14ac:dyDescent="0.25">
      <c r="B10" s="21" t="s">
        <v>17</v>
      </c>
      <c r="D10" s="11" t="s">
        <v>98</v>
      </c>
      <c r="E10" s="7" t="s">
        <v>97</v>
      </c>
      <c r="F10" s="7">
        <v>0.05</v>
      </c>
      <c r="G10" s="7">
        <v>1.66</v>
      </c>
      <c r="H10" s="12">
        <f>IF(B10="SI",$G$4*F10,0)</f>
        <v>9.8400000000000001E-2</v>
      </c>
      <c r="I10" s="12">
        <f>G10*H10</f>
        <v>0.16334399999999999</v>
      </c>
      <c r="K10" s="4" t="s">
        <v>95</v>
      </c>
      <c r="L10" s="13"/>
      <c r="M10" s="6"/>
      <c r="O10" s="30" t="s">
        <v>96</v>
      </c>
      <c r="P10" s="31"/>
      <c r="Q10" s="31"/>
      <c r="R10" s="31"/>
      <c r="S10" s="31"/>
      <c r="T10" s="32"/>
      <c r="V10" s="71"/>
      <c r="W10" s="26" t="s">
        <v>7</v>
      </c>
      <c r="X10" s="27">
        <f>H10</f>
        <v>9.8400000000000001E-2</v>
      </c>
      <c r="Y10" s="28" t="s">
        <v>1</v>
      </c>
      <c r="Z10" s="26" t="str">
        <f t="shared" si="0"/>
        <v>NO OBLIGATORIA</v>
      </c>
    </row>
    <row r="11" spans="2:26" ht="27.75" customHeight="1" thickBot="1" x14ac:dyDescent="0.25">
      <c r="D11" s="44" t="s">
        <v>95</v>
      </c>
      <c r="E11" s="45"/>
      <c r="F11" s="45"/>
      <c r="G11" s="45"/>
      <c r="H11" s="45"/>
      <c r="I11" s="46"/>
      <c r="K11" s="14" t="s">
        <v>94</v>
      </c>
      <c r="L11" s="15"/>
      <c r="M11" s="16"/>
      <c r="O11" s="17" t="s">
        <v>86</v>
      </c>
      <c r="P11" s="7" t="s">
        <v>85</v>
      </c>
      <c r="Q11" s="7" t="s">
        <v>47</v>
      </c>
      <c r="R11" s="7" t="s">
        <v>36</v>
      </c>
      <c r="S11" s="12">
        <f>H16</f>
        <v>7.8719999999999998E-2</v>
      </c>
      <c r="T11" s="12">
        <f>I16</f>
        <v>8.6592000000000002E-2</v>
      </c>
      <c r="V11" s="67" t="s">
        <v>6</v>
      </c>
      <c r="W11" s="68"/>
      <c r="X11" s="27">
        <f>L14</f>
        <v>9.8400000000000001E-2</v>
      </c>
      <c r="Y11" s="28">
        <v>2</v>
      </c>
      <c r="Z11" s="26" t="str">
        <f t="shared" si="0"/>
        <v>NO OBLIGATORIA</v>
      </c>
    </row>
    <row r="12" spans="2:26" ht="27.75" customHeight="1" thickBot="1" x14ac:dyDescent="0.25">
      <c r="D12" s="56" t="s">
        <v>94</v>
      </c>
      <c r="E12" s="57"/>
      <c r="F12" s="57"/>
      <c r="G12" s="57"/>
      <c r="H12" s="57"/>
      <c r="I12" s="58"/>
      <c r="K12" s="8" t="s">
        <v>92</v>
      </c>
      <c r="L12" s="9">
        <f>H14</f>
        <v>7.8719999999999998E-2</v>
      </c>
      <c r="M12" s="10">
        <f>I14</f>
        <v>7.8719999999999998E-2</v>
      </c>
      <c r="O12" s="30" t="s">
        <v>93</v>
      </c>
      <c r="P12" s="31"/>
      <c r="Q12" s="31"/>
      <c r="R12" s="31"/>
      <c r="S12" s="31"/>
      <c r="T12" s="32"/>
      <c r="V12" s="67" t="s">
        <v>5</v>
      </c>
      <c r="W12" s="68"/>
      <c r="X12" s="27">
        <f>L13</f>
        <v>7.8719999999999998E-2</v>
      </c>
      <c r="Y12" s="28">
        <v>1</v>
      </c>
      <c r="Z12" s="26" t="str">
        <f t="shared" si="0"/>
        <v>NO OBLIGATORIA</v>
      </c>
    </row>
    <row r="13" spans="2:26" ht="27.75" customHeight="1" thickBot="1" x14ac:dyDescent="0.25">
      <c r="D13" s="50" t="s">
        <v>92</v>
      </c>
      <c r="E13" s="51"/>
      <c r="F13" s="51"/>
      <c r="G13" s="51"/>
      <c r="H13" s="51"/>
      <c r="I13" s="52"/>
      <c r="K13" s="8" t="s">
        <v>87</v>
      </c>
      <c r="L13" s="9">
        <f>H16</f>
        <v>7.8719999999999998E-2</v>
      </c>
      <c r="M13" s="9">
        <f>I16</f>
        <v>8.6592000000000002E-2</v>
      </c>
      <c r="O13" s="17" t="s">
        <v>83</v>
      </c>
      <c r="P13" s="7" t="s">
        <v>82</v>
      </c>
      <c r="Q13" s="7" t="s">
        <v>40</v>
      </c>
      <c r="R13" s="7" t="s">
        <v>36</v>
      </c>
      <c r="S13" s="12">
        <f t="shared" ref="S13:T17" si="1">H18</f>
        <v>1.968E-2</v>
      </c>
      <c r="T13" s="12">
        <f t="shared" si="1"/>
        <v>1.1807999999999999E-2</v>
      </c>
      <c r="V13" s="67" t="s">
        <v>4</v>
      </c>
      <c r="W13" s="68"/>
      <c r="X13" s="27">
        <f>L16</f>
        <v>1.968E-2</v>
      </c>
      <c r="Y13" s="29">
        <v>0.5</v>
      </c>
      <c r="Z13" s="26" t="str">
        <f t="shared" si="0"/>
        <v>NO OBLIGATORIA</v>
      </c>
    </row>
    <row r="14" spans="2:26" ht="27.75" customHeight="1" thickBot="1" x14ac:dyDescent="0.25">
      <c r="B14" s="21" t="s">
        <v>17</v>
      </c>
      <c r="D14" s="11" t="s">
        <v>91</v>
      </c>
      <c r="E14" s="7" t="s">
        <v>90</v>
      </c>
      <c r="F14" s="7">
        <v>0.04</v>
      </c>
      <c r="G14" s="7">
        <v>1</v>
      </c>
      <c r="H14" s="12">
        <f>IF(B14="SI",$G$4*F14,0)</f>
        <v>7.8719999999999998E-2</v>
      </c>
      <c r="I14" s="12">
        <f>G14*H14</f>
        <v>7.8719999999999998E-2</v>
      </c>
      <c r="K14" s="8" t="s">
        <v>84</v>
      </c>
      <c r="L14" s="9">
        <f>SUM(H18:H22)</f>
        <v>9.8400000000000001E-2</v>
      </c>
      <c r="M14" s="10">
        <f>SUM(I18:I22)</f>
        <v>0.14169599999999999</v>
      </c>
      <c r="O14" s="17" t="s">
        <v>89</v>
      </c>
      <c r="P14" s="7" t="s">
        <v>88</v>
      </c>
      <c r="Q14" s="7" t="s">
        <v>47</v>
      </c>
      <c r="R14" s="7" t="s">
        <v>36</v>
      </c>
      <c r="S14" s="12">
        <f t="shared" si="1"/>
        <v>1.968E-2</v>
      </c>
      <c r="T14" s="12">
        <f t="shared" si="1"/>
        <v>2.9519999999999998E-2</v>
      </c>
      <c r="V14" s="67" t="s">
        <v>3</v>
      </c>
      <c r="W14" s="68"/>
      <c r="X14" s="27">
        <f>L17</f>
        <v>9.8399999999999998E-3</v>
      </c>
      <c r="Y14" s="28">
        <v>1</v>
      </c>
      <c r="Z14" s="26" t="str">
        <f t="shared" si="0"/>
        <v>NO OBLIGATORIA</v>
      </c>
    </row>
    <row r="15" spans="2:26" ht="27.75" customHeight="1" thickBot="1" x14ac:dyDescent="0.25">
      <c r="D15" s="50" t="s">
        <v>87</v>
      </c>
      <c r="E15" s="51"/>
      <c r="F15" s="51"/>
      <c r="G15" s="51"/>
      <c r="H15" s="51"/>
      <c r="I15" s="52"/>
      <c r="K15" s="8" t="s">
        <v>70</v>
      </c>
      <c r="L15" s="9">
        <f>H24</f>
        <v>5.9039999999999995E-2</v>
      </c>
      <c r="M15" s="10">
        <f>I24</f>
        <v>4.428E-2</v>
      </c>
      <c r="O15" s="17" t="s">
        <v>78</v>
      </c>
      <c r="P15" s="7" t="s">
        <v>77</v>
      </c>
      <c r="Q15" s="7" t="s">
        <v>47</v>
      </c>
      <c r="R15" s="7" t="s">
        <v>36</v>
      </c>
      <c r="S15" s="12">
        <f t="shared" si="1"/>
        <v>1.968E-2</v>
      </c>
      <c r="T15" s="12">
        <f t="shared" si="1"/>
        <v>4.1328000000000004E-2</v>
      </c>
      <c r="V15" s="67" t="s">
        <v>2</v>
      </c>
      <c r="W15" s="68"/>
      <c r="X15" s="27">
        <f>L18</f>
        <v>1.968E-2</v>
      </c>
      <c r="Y15" s="28" t="s">
        <v>1</v>
      </c>
      <c r="Z15" s="26" t="str">
        <f t="shared" si="0"/>
        <v>NO OBLIGATORIA</v>
      </c>
    </row>
    <row r="16" spans="2:26" ht="27.75" customHeight="1" thickBot="1" x14ac:dyDescent="0.25">
      <c r="B16" s="21" t="s">
        <v>17</v>
      </c>
      <c r="D16" s="11" t="s">
        <v>86</v>
      </c>
      <c r="E16" s="7" t="s">
        <v>85</v>
      </c>
      <c r="F16" s="7">
        <v>0.04</v>
      </c>
      <c r="G16" s="7">
        <v>1.1000000000000001</v>
      </c>
      <c r="H16" s="12">
        <f>IF(B16="SI",$G$4*F16,0)</f>
        <v>7.8719999999999998E-2</v>
      </c>
      <c r="I16" s="12">
        <f>G16*H16</f>
        <v>8.6592000000000002E-2</v>
      </c>
      <c r="K16" s="8" t="s">
        <v>66</v>
      </c>
      <c r="L16" s="9">
        <f>H26</f>
        <v>1.968E-2</v>
      </c>
      <c r="M16" s="10">
        <f>I26</f>
        <v>1.1807999999999999E-2</v>
      </c>
      <c r="O16" s="17" t="s">
        <v>75</v>
      </c>
      <c r="P16" s="7" t="s">
        <v>74</v>
      </c>
      <c r="Q16" s="7" t="s">
        <v>47</v>
      </c>
      <c r="R16" s="7" t="s">
        <v>36</v>
      </c>
      <c r="S16" s="12">
        <f t="shared" si="1"/>
        <v>1.968E-2</v>
      </c>
      <c r="T16" s="12">
        <f t="shared" si="1"/>
        <v>2.9519999999999998E-2</v>
      </c>
      <c r="V16" s="67" t="s">
        <v>0</v>
      </c>
      <c r="W16" s="68"/>
      <c r="X16" s="27">
        <f>L15</f>
        <v>5.9039999999999995E-2</v>
      </c>
      <c r="Y16" s="29">
        <v>0.5</v>
      </c>
      <c r="Z16" s="26" t="str">
        <f t="shared" si="0"/>
        <v>NO OBLIGATORIA</v>
      </c>
    </row>
    <row r="17" spans="2:20" ht="27.75" customHeight="1" thickBot="1" x14ac:dyDescent="0.25">
      <c r="D17" s="50" t="s">
        <v>84</v>
      </c>
      <c r="E17" s="51"/>
      <c r="F17" s="51"/>
      <c r="G17" s="51"/>
      <c r="H17" s="51"/>
      <c r="I17" s="52"/>
      <c r="K17" s="8" t="s">
        <v>62</v>
      </c>
      <c r="L17" s="9">
        <f>H28</f>
        <v>9.8399999999999998E-3</v>
      </c>
      <c r="M17" s="9">
        <f>I28</f>
        <v>9.8399999999999998E-3</v>
      </c>
      <c r="O17" s="17" t="s">
        <v>73</v>
      </c>
      <c r="P17" s="7" t="s">
        <v>72</v>
      </c>
      <c r="Q17" s="7" t="s">
        <v>47</v>
      </c>
      <c r="R17" s="7" t="s">
        <v>36</v>
      </c>
      <c r="S17" s="12">
        <f t="shared" si="1"/>
        <v>1.968E-2</v>
      </c>
      <c r="T17" s="12">
        <f t="shared" si="1"/>
        <v>2.9519999999999998E-2</v>
      </c>
    </row>
    <row r="18" spans="2:20" ht="27.75" customHeight="1" thickBot="1" x14ac:dyDescent="0.25">
      <c r="B18" s="21" t="s">
        <v>17</v>
      </c>
      <c r="D18" s="11" t="s">
        <v>83</v>
      </c>
      <c r="E18" s="7" t="s">
        <v>82</v>
      </c>
      <c r="F18" s="7">
        <v>0.01</v>
      </c>
      <c r="G18" s="7">
        <v>0.6</v>
      </c>
      <c r="H18" s="12">
        <f>IF(B18="SI",$G$4*F18,0)</f>
        <v>1.968E-2</v>
      </c>
      <c r="I18" s="12">
        <f>G18*H18</f>
        <v>1.1807999999999999E-2</v>
      </c>
      <c r="K18" s="8" t="s">
        <v>59</v>
      </c>
      <c r="L18" s="9">
        <f>H30</f>
        <v>1.968E-2</v>
      </c>
      <c r="M18" s="9">
        <f>I30</f>
        <v>1.968E-2</v>
      </c>
      <c r="O18" s="30" t="s">
        <v>81</v>
      </c>
      <c r="P18" s="31"/>
      <c r="Q18" s="31"/>
      <c r="R18" s="31"/>
      <c r="S18" s="31"/>
      <c r="T18" s="32"/>
    </row>
    <row r="19" spans="2:20" ht="27.75" customHeight="1" thickBot="1" x14ac:dyDescent="0.25">
      <c r="B19" s="21" t="s">
        <v>17</v>
      </c>
      <c r="D19" s="11" t="s">
        <v>80</v>
      </c>
      <c r="E19" s="7" t="s">
        <v>79</v>
      </c>
      <c r="F19" s="7">
        <v>0.01</v>
      </c>
      <c r="G19" s="7">
        <v>1.5</v>
      </c>
      <c r="H19" s="12">
        <f>IF(B19="SI",$G$4*F19,0)</f>
        <v>1.968E-2</v>
      </c>
      <c r="I19" s="12">
        <f>G19*H19</f>
        <v>2.9519999999999998E-2</v>
      </c>
      <c r="K19" s="8" t="s">
        <v>55</v>
      </c>
      <c r="L19" s="18"/>
      <c r="M19" s="19"/>
      <c r="O19" s="17" t="s">
        <v>69</v>
      </c>
      <c r="P19" s="7" t="s">
        <v>68</v>
      </c>
      <c r="Q19" s="7" t="s">
        <v>47</v>
      </c>
      <c r="R19" s="7" t="s">
        <v>36</v>
      </c>
      <c r="S19" s="12">
        <f>H24</f>
        <v>5.9039999999999995E-2</v>
      </c>
      <c r="T19" s="12">
        <f>I24</f>
        <v>4.428E-2</v>
      </c>
    </row>
    <row r="20" spans="2:20" ht="27.75" customHeight="1" thickBot="1" x14ac:dyDescent="0.25">
      <c r="B20" s="21" t="s">
        <v>17</v>
      </c>
      <c r="D20" s="11" t="s">
        <v>78</v>
      </c>
      <c r="E20" s="7" t="s">
        <v>77</v>
      </c>
      <c r="F20" s="7">
        <v>0.01</v>
      </c>
      <c r="G20" s="7">
        <v>2.1</v>
      </c>
      <c r="H20" s="12">
        <f>IF(B20="SI",$G$4*F20,0)</f>
        <v>1.968E-2</v>
      </c>
      <c r="I20" s="12">
        <f>G20*H20</f>
        <v>4.1328000000000004E-2</v>
      </c>
      <c r="K20" s="14" t="s">
        <v>48</v>
      </c>
      <c r="L20" s="20"/>
      <c r="M20" s="16"/>
      <c r="O20" s="30" t="s">
        <v>76</v>
      </c>
      <c r="P20" s="31"/>
      <c r="Q20" s="31"/>
      <c r="R20" s="31"/>
      <c r="S20" s="31"/>
      <c r="T20" s="32"/>
    </row>
    <row r="21" spans="2:20" ht="27.75" customHeight="1" thickBot="1" x14ac:dyDescent="0.25">
      <c r="B21" s="21" t="s">
        <v>17</v>
      </c>
      <c r="D21" s="11" t="s">
        <v>75</v>
      </c>
      <c r="E21" s="7" t="s">
        <v>74</v>
      </c>
      <c r="F21" s="7">
        <v>0.01</v>
      </c>
      <c r="G21" s="7">
        <v>1.5</v>
      </c>
      <c r="H21" s="12">
        <f>IF(B21="SI",$G$4*F21,0)</f>
        <v>1.968E-2</v>
      </c>
      <c r="I21" s="12">
        <f>G21*H21</f>
        <v>2.9519999999999998E-2</v>
      </c>
      <c r="K21" s="8" t="s">
        <v>45</v>
      </c>
      <c r="L21" s="9">
        <f>SUM(H36:H37)</f>
        <v>7.8719999999999998E-2</v>
      </c>
      <c r="M21" s="10">
        <f>SUM(I36:I37)</f>
        <v>0.122016</v>
      </c>
      <c r="O21" s="17" t="s">
        <v>65</v>
      </c>
      <c r="P21" s="7" t="s">
        <v>64</v>
      </c>
      <c r="Q21" s="7" t="s">
        <v>47</v>
      </c>
      <c r="R21" s="7" t="s">
        <v>36</v>
      </c>
      <c r="S21" s="12">
        <f>H26</f>
        <v>1.968E-2</v>
      </c>
      <c r="T21" s="12">
        <f>I26</f>
        <v>1.1807999999999999E-2</v>
      </c>
    </row>
    <row r="22" spans="2:20" ht="27.75" customHeight="1" thickBot="1" x14ac:dyDescent="0.25">
      <c r="B22" s="21" t="s">
        <v>17</v>
      </c>
      <c r="D22" s="11" t="s">
        <v>73</v>
      </c>
      <c r="E22" s="7" t="s">
        <v>72</v>
      </c>
      <c r="F22" s="7">
        <v>0.01</v>
      </c>
      <c r="G22" s="7">
        <v>1.5</v>
      </c>
      <c r="H22" s="12">
        <f>IF(B22="SI",$G$4*F22,0)</f>
        <v>1.968E-2</v>
      </c>
      <c r="I22" s="12">
        <f>G22*H22</f>
        <v>2.9519999999999998E-2</v>
      </c>
      <c r="K22" s="8" t="s">
        <v>38</v>
      </c>
      <c r="L22" s="9">
        <f>H39</f>
        <v>0.23615999999999998</v>
      </c>
      <c r="M22" s="9">
        <f>I39</f>
        <v>0.35424</v>
      </c>
      <c r="O22" s="30" t="s">
        <v>71</v>
      </c>
      <c r="P22" s="31"/>
      <c r="Q22" s="31"/>
      <c r="R22" s="31"/>
      <c r="S22" s="31"/>
      <c r="T22" s="32"/>
    </row>
    <row r="23" spans="2:20" ht="27.75" customHeight="1" thickBot="1" x14ac:dyDescent="0.25">
      <c r="D23" s="50" t="s">
        <v>70</v>
      </c>
      <c r="E23" s="51"/>
      <c r="F23" s="51"/>
      <c r="G23" s="51"/>
      <c r="H23" s="51"/>
      <c r="I23" s="52"/>
      <c r="K23" s="8" t="s">
        <v>32</v>
      </c>
      <c r="L23" s="9">
        <f>SUM(H41:H42)</f>
        <v>0.39360000000000001</v>
      </c>
      <c r="M23" s="10">
        <f>SUM(I41:I42)</f>
        <v>0.49199999999999999</v>
      </c>
      <c r="O23" s="17" t="s">
        <v>61</v>
      </c>
      <c r="P23" s="7" t="s">
        <v>60</v>
      </c>
      <c r="Q23" s="7" t="s">
        <v>47</v>
      </c>
      <c r="R23" s="7" t="s">
        <v>36</v>
      </c>
      <c r="S23" s="12">
        <f>H28</f>
        <v>9.8399999999999998E-3</v>
      </c>
      <c r="T23" s="12">
        <f>I28</f>
        <v>9.8399999999999998E-3</v>
      </c>
    </row>
    <row r="24" spans="2:20" ht="27.75" customHeight="1" thickBot="1" x14ac:dyDescent="0.25">
      <c r="B24" s="21" t="s">
        <v>17</v>
      </c>
      <c r="D24" s="11" t="s">
        <v>69</v>
      </c>
      <c r="E24" s="7" t="s">
        <v>68</v>
      </c>
      <c r="F24" s="7">
        <v>0.03</v>
      </c>
      <c r="G24" s="7">
        <v>0.75</v>
      </c>
      <c r="H24" s="12">
        <f>IF(B24="SI",$G$4*F24,0)</f>
        <v>5.9039999999999995E-2</v>
      </c>
      <c r="I24" s="12">
        <f>G24*H24</f>
        <v>4.428E-2</v>
      </c>
      <c r="K24" s="14" t="s">
        <v>24</v>
      </c>
      <c r="L24" s="20"/>
      <c r="M24" s="16"/>
      <c r="O24" s="30" t="s">
        <v>67</v>
      </c>
      <c r="P24" s="31"/>
      <c r="Q24" s="31"/>
      <c r="R24" s="31"/>
      <c r="S24" s="31"/>
      <c r="T24" s="32"/>
    </row>
    <row r="25" spans="2:20" ht="27.75" customHeight="1" thickBot="1" x14ac:dyDescent="0.25">
      <c r="D25" s="50" t="s">
        <v>66</v>
      </c>
      <c r="E25" s="51"/>
      <c r="F25" s="51"/>
      <c r="G25" s="51"/>
      <c r="H25" s="51"/>
      <c r="I25" s="52"/>
      <c r="K25" s="8" t="s">
        <v>22</v>
      </c>
      <c r="L25" s="9">
        <f>SUM(H45:H47)</f>
        <v>5.9039999999999995E-2</v>
      </c>
      <c r="M25" s="10">
        <f>SUM(I45:I47)</f>
        <v>5.5104E-2</v>
      </c>
      <c r="O25" s="17" t="s">
        <v>58</v>
      </c>
      <c r="P25" s="7" t="s">
        <v>57</v>
      </c>
      <c r="Q25" s="7" t="s">
        <v>47</v>
      </c>
      <c r="R25" s="7" t="s">
        <v>36</v>
      </c>
      <c r="S25" s="12">
        <f>H30</f>
        <v>1.968E-2</v>
      </c>
      <c r="T25" s="12">
        <f>I30</f>
        <v>1.968E-2</v>
      </c>
    </row>
    <row r="26" spans="2:20" ht="27.75" customHeight="1" thickBot="1" x14ac:dyDescent="0.25">
      <c r="B26" s="21" t="s">
        <v>17</v>
      </c>
      <c r="D26" s="11" t="s">
        <v>65</v>
      </c>
      <c r="E26" s="7" t="s">
        <v>64</v>
      </c>
      <c r="F26" s="7">
        <v>0.01</v>
      </c>
      <c r="G26" s="7">
        <v>0.6</v>
      </c>
      <c r="H26" s="12">
        <f>IF(B26="SI",$G$4*F26,0)</f>
        <v>1.968E-2</v>
      </c>
      <c r="I26" s="12">
        <f>G26*H26</f>
        <v>1.1807999999999999E-2</v>
      </c>
      <c r="O26" s="30" t="s">
        <v>63</v>
      </c>
      <c r="P26" s="31"/>
      <c r="Q26" s="31"/>
      <c r="R26" s="31"/>
      <c r="S26" s="31"/>
      <c r="T26" s="32"/>
    </row>
    <row r="27" spans="2:20" ht="27.75" customHeight="1" thickBot="1" x14ac:dyDescent="0.25">
      <c r="D27" s="50" t="s">
        <v>62</v>
      </c>
      <c r="E27" s="51"/>
      <c r="F27" s="51"/>
      <c r="G27" s="51"/>
      <c r="H27" s="51"/>
      <c r="I27" s="52"/>
      <c r="O27" s="17" t="s">
        <v>53</v>
      </c>
      <c r="P27" s="7" t="s">
        <v>52</v>
      </c>
      <c r="Q27" s="7" t="s">
        <v>47</v>
      </c>
      <c r="R27" s="7" t="s">
        <v>36</v>
      </c>
      <c r="S27" s="12">
        <f>H32</f>
        <v>3.9359999999999999E-2</v>
      </c>
      <c r="T27" s="12">
        <f>I32</f>
        <v>2.3615999999999998E-2</v>
      </c>
    </row>
    <row r="28" spans="2:20" ht="27.75" customHeight="1" thickBot="1" x14ac:dyDescent="0.25">
      <c r="B28" s="21" t="s">
        <v>17</v>
      </c>
      <c r="D28" s="11" t="s">
        <v>61</v>
      </c>
      <c r="E28" s="7" t="s">
        <v>60</v>
      </c>
      <c r="F28" s="7">
        <v>5.0000000000000001E-3</v>
      </c>
      <c r="G28" s="7">
        <v>1</v>
      </c>
      <c r="H28" s="12">
        <f>IF(B28="SI",$G$4*F28,0)</f>
        <v>9.8399999999999998E-3</v>
      </c>
      <c r="I28" s="12">
        <f>G28*H28</f>
        <v>9.8399999999999998E-3</v>
      </c>
      <c r="O28" s="17" t="s">
        <v>50</v>
      </c>
      <c r="P28" s="7" t="s">
        <v>49</v>
      </c>
      <c r="Q28" s="7" t="s">
        <v>40</v>
      </c>
      <c r="R28" s="7" t="s">
        <v>36</v>
      </c>
      <c r="S28" s="12">
        <f>H33</f>
        <v>6.8880000000000011E-2</v>
      </c>
      <c r="T28" s="12">
        <f>I33</f>
        <v>0.10332000000000002</v>
      </c>
    </row>
    <row r="29" spans="2:20" ht="27.75" customHeight="1" thickBot="1" x14ac:dyDescent="0.25">
      <c r="D29" s="50" t="s">
        <v>59</v>
      </c>
      <c r="E29" s="51"/>
      <c r="F29" s="51"/>
      <c r="G29" s="51"/>
      <c r="H29" s="51"/>
      <c r="I29" s="52"/>
      <c r="O29" s="53" t="s">
        <v>48</v>
      </c>
      <c r="P29" s="54"/>
      <c r="Q29" s="54"/>
      <c r="R29" s="54"/>
      <c r="S29" s="54"/>
      <c r="T29" s="55"/>
    </row>
    <row r="30" spans="2:20" ht="27.75" customHeight="1" thickBot="1" x14ac:dyDescent="0.25">
      <c r="B30" s="21" t="s">
        <v>17</v>
      </c>
      <c r="D30" s="11" t="s">
        <v>58</v>
      </c>
      <c r="E30" s="7" t="s">
        <v>57</v>
      </c>
      <c r="F30" s="7">
        <v>0.01</v>
      </c>
      <c r="G30" s="7">
        <v>1</v>
      </c>
      <c r="H30" s="12">
        <f>IF(B30="SI",$G$4*F30,0)</f>
        <v>1.968E-2</v>
      </c>
      <c r="I30" s="12">
        <f>G30*H30</f>
        <v>1.968E-2</v>
      </c>
      <c r="O30" s="30" t="s">
        <v>56</v>
      </c>
      <c r="P30" s="31"/>
      <c r="Q30" s="31"/>
      <c r="R30" s="31"/>
      <c r="S30" s="31"/>
      <c r="T30" s="32"/>
    </row>
    <row r="31" spans="2:20" ht="27.75" customHeight="1" thickBot="1" x14ac:dyDescent="0.25">
      <c r="D31" s="50" t="s">
        <v>55</v>
      </c>
      <c r="E31" s="51"/>
      <c r="F31" s="51"/>
      <c r="G31" s="51"/>
      <c r="H31" s="51"/>
      <c r="I31" s="52"/>
      <c r="O31" s="17" t="s">
        <v>35</v>
      </c>
      <c r="P31" s="7" t="s">
        <v>34</v>
      </c>
      <c r="Q31" s="7" t="s">
        <v>54</v>
      </c>
      <c r="R31" s="7" t="s">
        <v>46</v>
      </c>
      <c r="S31" s="12">
        <f>H39</f>
        <v>0.23615999999999998</v>
      </c>
      <c r="T31" s="12">
        <f>I39</f>
        <v>0.35424</v>
      </c>
    </row>
    <row r="32" spans="2:20" ht="27.75" customHeight="1" thickBot="1" x14ac:dyDescent="0.25">
      <c r="B32" s="21" t="s">
        <v>17</v>
      </c>
      <c r="D32" s="11" t="s">
        <v>53</v>
      </c>
      <c r="E32" s="7" t="s">
        <v>52</v>
      </c>
      <c r="F32" s="7">
        <v>0.02</v>
      </c>
      <c r="G32" s="7">
        <v>0.6</v>
      </c>
      <c r="H32" s="12">
        <f>IF(B32="SI",$G$4*F32,0)</f>
        <v>3.9359999999999999E-2</v>
      </c>
      <c r="I32" s="12">
        <f>G32*H32</f>
        <v>2.3615999999999998E-2</v>
      </c>
      <c r="O32" s="30" t="s">
        <v>51</v>
      </c>
      <c r="P32" s="31"/>
      <c r="Q32" s="31"/>
      <c r="R32" s="31"/>
      <c r="S32" s="31"/>
      <c r="T32" s="32"/>
    </row>
    <row r="33" spans="2:20" ht="27.75" customHeight="1" thickBot="1" x14ac:dyDescent="0.25">
      <c r="B33" s="21" t="s">
        <v>17</v>
      </c>
      <c r="D33" s="11" t="s">
        <v>50</v>
      </c>
      <c r="E33" s="7" t="s">
        <v>49</v>
      </c>
      <c r="F33" s="7">
        <v>3.5000000000000003E-2</v>
      </c>
      <c r="G33" s="7">
        <v>1.5</v>
      </c>
      <c r="H33" s="12">
        <f>IF(B33="SI",$G$4*F33,0)</f>
        <v>6.8880000000000011E-2</v>
      </c>
      <c r="I33" s="12">
        <f>G33*H33</f>
        <v>0.10332000000000002</v>
      </c>
      <c r="O33" s="17" t="s">
        <v>30</v>
      </c>
      <c r="P33" s="7" t="s">
        <v>29</v>
      </c>
      <c r="Q33" s="7" t="s">
        <v>47</v>
      </c>
      <c r="R33" s="7" t="s">
        <v>46</v>
      </c>
      <c r="S33" s="12">
        <f>H41</f>
        <v>0.39360000000000001</v>
      </c>
      <c r="T33" s="12">
        <f>I41</f>
        <v>0.49199999999999999</v>
      </c>
    </row>
    <row r="34" spans="2:20" ht="27.75" customHeight="1" thickBot="1" x14ac:dyDescent="0.25">
      <c r="D34" s="56" t="s">
        <v>48</v>
      </c>
      <c r="E34" s="57"/>
      <c r="F34" s="57"/>
      <c r="G34" s="57"/>
      <c r="H34" s="57"/>
      <c r="I34" s="58"/>
      <c r="O34" s="17" t="s">
        <v>27</v>
      </c>
      <c r="P34" s="7" t="s">
        <v>26</v>
      </c>
      <c r="Q34" s="7" t="s">
        <v>47</v>
      </c>
      <c r="R34" s="7" t="s">
        <v>46</v>
      </c>
      <c r="S34" s="12">
        <f>H42</f>
        <v>0</v>
      </c>
      <c r="T34" s="12">
        <f>I42</f>
        <v>0</v>
      </c>
    </row>
    <row r="35" spans="2:20" ht="27.75" customHeight="1" thickBot="1" x14ac:dyDescent="0.25">
      <c r="D35" s="50" t="s">
        <v>45</v>
      </c>
      <c r="E35" s="51"/>
      <c r="F35" s="51"/>
      <c r="G35" s="51"/>
      <c r="H35" s="51"/>
      <c r="I35" s="52"/>
      <c r="O35" s="53" t="s">
        <v>24</v>
      </c>
      <c r="P35" s="54"/>
      <c r="Q35" s="54"/>
      <c r="R35" s="54"/>
      <c r="S35" s="54"/>
      <c r="T35" s="55"/>
    </row>
    <row r="36" spans="2:20" ht="27.75" customHeight="1" thickBot="1" x14ac:dyDescent="0.25">
      <c r="B36" s="21" t="s">
        <v>17</v>
      </c>
      <c r="D36" s="11" t="s">
        <v>44</v>
      </c>
      <c r="E36" s="7" t="s">
        <v>43</v>
      </c>
      <c r="F36" s="7">
        <v>0.02</v>
      </c>
      <c r="G36" s="7">
        <v>1.5</v>
      </c>
      <c r="H36" s="12">
        <f>IF(B36="SI",$G$4*F36,0)</f>
        <v>3.9359999999999999E-2</v>
      </c>
      <c r="I36" s="12">
        <f>G36*H36</f>
        <v>5.9039999999999995E-2</v>
      </c>
      <c r="O36" s="30" t="s">
        <v>22</v>
      </c>
      <c r="P36" s="31"/>
      <c r="Q36" s="31"/>
      <c r="R36" s="31"/>
      <c r="S36" s="31"/>
      <c r="T36" s="32"/>
    </row>
    <row r="37" spans="2:20" ht="27.75" customHeight="1" thickBot="1" x14ac:dyDescent="0.25">
      <c r="B37" s="21" t="s">
        <v>17</v>
      </c>
      <c r="D37" s="11" t="s">
        <v>42</v>
      </c>
      <c r="E37" s="7" t="s">
        <v>41</v>
      </c>
      <c r="F37" s="7">
        <v>0.02</v>
      </c>
      <c r="G37" s="7">
        <v>1.6</v>
      </c>
      <c r="H37" s="12">
        <f>IF(B37="SI",$G$4*F37,0)</f>
        <v>3.9359999999999999E-2</v>
      </c>
      <c r="I37" s="12">
        <f>G37*H37</f>
        <v>6.2976000000000004E-2</v>
      </c>
      <c r="O37" s="17" t="s">
        <v>21</v>
      </c>
      <c r="P37" s="7" t="s">
        <v>20</v>
      </c>
      <c r="Q37" s="7" t="s">
        <v>40</v>
      </c>
      <c r="R37" s="7" t="s">
        <v>39</v>
      </c>
      <c r="S37" s="12">
        <f>H45</f>
        <v>3.9359999999999999E-2</v>
      </c>
      <c r="T37" s="12">
        <f>I45</f>
        <v>3.5423999999999997E-2</v>
      </c>
    </row>
    <row r="38" spans="2:20" ht="27.75" customHeight="1" thickBot="1" x14ac:dyDescent="0.25">
      <c r="D38" s="50" t="s">
        <v>38</v>
      </c>
      <c r="E38" s="51"/>
      <c r="F38" s="51"/>
      <c r="G38" s="51"/>
      <c r="H38" s="51"/>
      <c r="I38" s="52"/>
      <c r="O38" s="17" t="s">
        <v>16</v>
      </c>
      <c r="P38" s="7" t="s">
        <v>15</v>
      </c>
      <c r="Q38" s="7" t="s">
        <v>37</v>
      </c>
      <c r="R38" s="7" t="s">
        <v>36</v>
      </c>
      <c r="S38" s="12">
        <f>H47</f>
        <v>1.968E-2</v>
      </c>
      <c r="T38" s="12">
        <f>I47</f>
        <v>1.968E-2</v>
      </c>
    </row>
    <row r="39" spans="2:20" ht="27.75" customHeight="1" thickBot="1" x14ac:dyDescent="0.25">
      <c r="B39" s="21" t="s">
        <v>17</v>
      </c>
      <c r="D39" s="11" t="s">
        <v>35</v>
      </c>
      <c r="E39" s="7" t="s">
        <v>34</v>
      </c>
      <c r="F39" s="7">
        <v>0.12</v>
      </c>
      <c r="G39" s="7">
        <v>1.5</v>
      </c>
      <c r="H39" s="12">
        <f>IF(B39="SI",$G$4*F39,0)</f>
        <v>0.23615999999999998</v>
      </c>
      <c r="I39" s="12">
        <f>G39*H39</f>
        <v>0.35424</v>
      </c>
      <c r="O39" s="61" t="s">
        <v>33</v>
      </c>
      <c r="P39" s="62"/>
      <c r="Q39" s="62"/>
      <c r="R39" s="62"/>
      <c r="S39" s="62"/>
      <c r="T39" s="63"/>
    </row>
    <row r="40" spans="2:20" ht="27.75" customHeight="1" thickBot="1" x14ac:dyDescent="0.25">
      <c r="D40" s="50" t="s">
        <v>32</v>
      </c>
      <c r="E40" s="51"/>
      <c r="F40" s="51"/>
      <c r="G40" s="51"/>
      <c r="H40" s="51"/>
      <c r="I40" s="52"/>
      <c r="O40" s="64" t="s">
        <v>31</v>
      </c>
      <c r="P40" s="65"/>
      <c r="Q40" s="65"/>
      <c r="R40" s="65"/>
      <c r="S40" s="65"/>
      <c r="T40" s="66"/>
    </row>
    <row r="41" spans="2:20" ht="27.75" customHeight="1" thickBot="1" x14ac:dyDescent="0.25">
      <c r="B41" s="21" t="s">
        <v>17</v>
      </c>
      <c r="D41" s="11" t="s">
        <v>30</v>
      </c>
      <c r="E41" s="7" t="s">
        <v>29</v>
      </c>
      <c r="F41" s="7">
        <v>0.2</v>
      </c>
      <c r="G41" s="7">
        <v>1.25</v>
      </c>
      <c r="H41" s="12">
        <f>IF(B41="SI",$G$4*F41,0)</f>
        <v>0.39360000000000001</v>
      </c>
      <c r="I41" s="12">
        <f>G41*H41</f>
        <v>0.49199999999999999</v>
      </c>
      <c r="O41" s="64" t="s">
        <v>28</v>
      </c>
      <c r="P41" s="65"/>
      <c r="Q41" s="65"/>
      <c r="R41" s="65"/>
      <c r="S41" s="65"/>
      <c r="T41" s="66"/>
    </row>
    <row r="42" spans="2:20" ht="27.75" customHeight="1" thickBot="1" x14ac:dyDescent="0.25">
      <c r="B42" s="21" t="s">
        <v>116</v>
      </c>
      <c r="D42" s="11" t="s">
        <v>27</v>
      </c>
      <c r="E42" s="7" t="s">
        <v>26</v>
      </c>
      <c r="F42" s="7">
        <v>0.3</v>
      </c>
      <c r="G42" s="7">
        <v>1.25</v>
      </c>
      <c r="H42" s="12">
        <f>IF(B42="SI",$G$4*F42,0)</f>
        <v>0</v>
      </c>
      <c r="I42" s="12">
        <f>G42*H42</f>
        <v>0</v>
      </c>
      <c r="O42" s="64" t="s">
        <v>25</v>
      </c>
      <c r="P42" s="65"/>
      <c r="Q42" s="65"/>
      <c r="R42" s="65"/>
      <c r="S42" s="65"/>
      <c r="T42" s="66"/>
    </row>
    <row r="43" spans="2:20" ht="27.75" customHeight="1" thickBot="1" x14ac:dyDescent="0.25">
      <c r="D43" s="56" t="s">
        <v>24</v>
      </c>
      <c r="E43" s="57"/>
      <c r="F43" s="57"/>
      <c r="G43" s="57"/>
      <c r="H43" s="57"/>
      <c r="I43" s="58"/>
      <c r="O43" s="72" t="s">
        <v>23</v>
      </c>
      <c r="P43" s="73"/>
      <c r="Q43" s="73"/>
      <c r="R43" s="73"/>
      <c r="S43" s="73"/>
      <c r="T43" s="74"/>
    </row>
    <row r="44" spans="2:20" ht="27.75" customHeight="1" thickBot="1" x14ac:dyDescent="0.25">
      <c r="D44" s="50" t="s">
        <v>22</v>
      </c>
      <c r="E44" s="51"/>
      <c r="F44" s="51"/>
      <c r="G44" s="51"/>
      <c r="H44" s="51"/>
      <c r="I44" s="52"/>
    </row>
    <row r="45" spans="2:20" ht="27.75" customHeight="1" thickBot="1" x14ac:dyDescent="0.25">
      <c r="B45" s="21" t="s">
        <v>17</v>
      </c>
      <c r="D45" s="11" t="s">
        <v>21</v>
      </c>
      <c r="E45" s="7" t="s">
        <v>20</v>
      </c>
      <c r="F45" s="7">
        <v>0.02</v>
      </c>
      <c r="G45" s="7">
        <v>0.9</v>
      </c>
      <c r="H45" s="12">
        <f>IF(B45="SI",$G$4*F45,0)</f>
        <v>3.9359999999999999E-2</v>
      </c>
      <c r="I45" s="12">
        <f>G45*H45</f>
        <v>3.5423999999999997E-2</v>
      </c>
    </row>
    <row r="46" spans="2:20" ht="27.75" customHeight="1" thickBot="1" x14ac:dyDescent="0.25">
      <c r="B46" s="21" t="s">
        <v>116</v>
      </c>
      <c r="D46" s="11" t="s">
        <v>19</v>
      </c>
      <c r="E46" s="7" t="s">
        <v>18</v>
      </c>
      <c r="F46" s="7">
        <v>0.02</v>
      </c>
      <c r="G46" s="7">
        <v>0.24</v>
      </c>
      <c r="H46" s="12">
        <f>IF(B46="SI",$G$4*F46,0)</f>
        <v>0</v>
      </c>
      <c r="I46" s="12">
        <f>G46*H46</f>
        <v>0</v>
      </c>
    </row>
    <row r="47" spans="2:20" ht="27.75" customHeight="1" thickBot="1" x14ac:dyDescent="0.25">
      <c r="B47" s="21" t="s">
        <v>17</v>
      </c>
      <c r="D47" s="11" t="s">
        <v>16</v>
      </c>
      <c r="E47" s="7" t="s">
        <v>15</v>
      </c>
      <c r="F47" s="7">
        <v>0.01</v>
      </c>
      <c r="G47" s="7">
        <v>1</v>
      </c>
      <c r="H47" s="12">
        <f>IF(B47="SI",$G$4*F47,0)</f>
        <v>1.968E-2</v>
      </c>
      <c r="I47" s="12">
        <f>G47*H47</f>
        <v>1.968E-2</v>
      </c>
    </row>
  </sheetData>
  <mergeCells count="59">
    <mergeCell ref="V14:W14"/>
    <mergeCell ref="O42:T42"/>
    <mergeCell ref="D43:I43"/>
    <mergeCell ref="O43:T43"/>
    <mergeCell ref="D44:I44"/>
    <mergeCell ref="O41:T41"/>
    <mergeCell ref="O29:T29"/>
    <mergeCell ref="D31:I31"/>
    <mergeCell ref="D23:I23"/>
    <mergeCell ref="D25:I25"/>
    <mergeCell ref="O30:T30"/>
    <mergeCell ref="O32:T32"/>
    <mergeCell ref="O36:T36"/>
    <mergeCell ref="O18:T18"/>
    <mergeCell ref="O20:T20"/>
    <mergeCell ref="O22:T22"/>
    <mergeCell ref="V7:W7"/>
    <mergeCell ref="D38:I38"/>
    <mergeCell ref="O39:T39"/>
    <mergeCell ref="D40:I40"/>
    <mergeCell ref="O40:T40"/>
    <mergeCell ref="V15:W15"/>
    <mergeCell ref="V16:W16"/>
    <mergeCell ref="V8:V10"/>
    <mergeCell ref="V11:W11"/>
    <mergeCell ref="V12:W12"/>
    <mergeCell ref="V13:W13"/>
    <mergeCell ref="D34:I34"/>
    <mergeCell ref="D35:I35"/>
    <mergeCell ref="O35:T35"/>
    <mergeCell ref="D27:I27"/>
    <mergeCell ref="D29:I29"/>
    <mergeCell ref="K6:K7"/>
    <mergeCell ref="O6:O7"/>
    <mergeCell ref="D13:I13"/>
    <mergeCell ref="D15:I15"/>
    <mergeCell ref="D17:I17"/>
    <mergeCell ref="D9:I9"/>
    <mergeCell ref="O9:T9"/>
    <mergeCell ref="D11:I11"/>
    <mergeCell ref="D12:I12"/>
    <mergeCell ref="O10:T10"/>
    <mergeCell ref="O12:T12"/>
    <mergeCell ref="O24:T24"/>
    <mergeCell ref="O26:T26"/>
    <mergeCell ref="E2:F2"/>
    <mergeCell ref="G2:I2"/>
    <mergeCell ref="E3:F3"/>
    <mergeCell ref="G3:I3"/>
    <mergeCell ref="E4:F4"/>
    <mergeCell ref="G4:I4"/>
    <mergeCell ref="P6:P7"/>
    <mergeCell ref="Q6:Q7"/>
    <mergeCell ref="R6:R7"/>
    <mergeCell ref="D8:I8"/>
    <mergeCell ref="O8:T8"/>
    <mergeCell ref="D6:D7"/>
    <mergeCell ref="E6:E7"/>
    <mergeCell ref="F6:F7"/>
  </mergeCells>
  <dataValidations disablePrompts="1" count="1">
    <dataValidation type="list" allowBlank="1" showInputMessage="1" showErrorMessage="1" sqref="B10 B14 B16 B26 B24 B18:B22 B28 B30 B32:B33 B36:B37 B39 B41:B42 B45:B47" xr:uid="{9E6548F2-22FF-4783-B9AF-BC07548DEC37}">
      <formula1>"SI,NO"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Garat</dc:creator>
  <cp:lastModifiedBy>Pedro Garat</cp:lastModifiedBy>
  <dcterms:created xsi:type="dcterms:W3CDTF">2026-07-15T06:27:09Z</dcterms:created>
  <dcterms:modified xsi:type="dcterms:W3CDTF">2026-09-08T16:54:31Z</dcterms:modified>
</cp:coreProperties>
</file>